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<sst xmlns="http://schemas.openxmlformats.org/spreadsheetml/2006/main" count="613" uniqueCount="349">
  <si>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</si>
  <si>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</si>
  <si>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</si>
  <si>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</si>
  <si>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</si>
  <si>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</si>
  <si>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</si>
  <si>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</si>
  <si>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</si>
  <si>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</si>
  <si>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</si>
  <si>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</si>
  <si>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</si>
  <si>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</si>
  <si>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</si>
  <si>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</si>
  <si>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</si>
  <si>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</si>
  <si>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</si>
  <si>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</si>
  <si>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</si>
  <si>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</si>
  <si>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</si>
  <si>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</si>
  <si>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</si>
  <si>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</si>
  <si>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</si>
  <si>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</si>
  <si>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</si>
  <si>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</si>
  <si>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</si>
  <si>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</si>
  <si>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</si>
  <si>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</si>
  <si>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</si>
  <si>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</si>
  <si>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</si>
  <si>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</si>
  <si>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</si>
  <si>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</si>
  <si>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</si>
  <si>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</si>
  <si>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</si>
  <si>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</si>
  <si>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</si>
  <si>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</si>
  <si>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</si>
  <si>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</si>
  <si>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</si>
  <si>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</si>
  <si>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</si>
  <si>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</si>
  <si>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</si>
  <si>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</si>
  <si>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</si>
  <si>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</si>
  <si>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</si>
  <si>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</si>
  <si>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</si>
  <si>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</si>
  <si>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</si>
  <si>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</si>
  <si>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</si>
  <si>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</si>
  <si>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</si>
  <si>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</si>
  <si>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</si>
  <si>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</si>
  <si>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</si>
  <si>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</si>
  <si>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</si>
  <si>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</si>
  <si>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</si>
  <si>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</si>
  <si>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</si>
  <si>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</si>
  <si>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</si>
  <si>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</si>
  <si>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</si>
  <si>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</si>
  <si>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</si>
  <si>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</si>
  <si>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</si>
  <si>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</si>
  <si>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</si>
  <si>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</si>
  <si>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</si>
  <si>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</si>
  <si>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</si>
  <si>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</si>
  <si>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</si>
  <si>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</si>
  <si>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</si>
  <si>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</si>
  <si>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</si>
  <si>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</si>
  <si>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</si>
  <si>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</si>
  <si>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</si>
  <si>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</si>
  <si>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</si>
  <si>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</si>
  <si>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</si>
  <si>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</si>
  <si>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</si>
  <si>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</si>
  <si>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</si>
  <si>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</si>
  <si>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</si>
  <si>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</si>
  <si>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</si>
  <si>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</si>
  <si>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</si>
  <si>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</si>
  <si>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</si>
  <si>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</si>
  <si>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</si>
  <si>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</si>
  <si>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</si>
  <si>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</si>
  <si>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</si>
  <si>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</si>
  <si>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</si>
  <si>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</si>
  <si>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</si>
  <si>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</si>
  <si>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</si>
  <si>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</si>
  <si>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</si>
  <si>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</si>
  <si>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</si>
  <si>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</si>
  <si>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</si>
  <si>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</si>
  <si>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</si>
  <si>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</si>
  <si>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</si>
  <si>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</si>
  <si>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</si>
  <si>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</si>
  <si>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</si>
  <si>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</si>
  <si>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</si>
  <si>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</si>
  <si>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</si>
  <si>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</si>
  <si>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</si>
  <si>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</si>
  <si>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</si>
  <si>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</si>
  <si>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</si>
  <si>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</si>
  <si>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</si>
  <si>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</si>
  <si>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</si>
  <si>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</si>
  <si>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</si>
  <si>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</si>
  <si>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</si>
  <si>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</si>
  <si>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</si>
  <si>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</si>
  <si>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</si>
  <si>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</si>
  <si>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</si>
  <si>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</si>
  <si>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</si>
  <si>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</si>
  <si>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</si>
  <si>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</si>
  <si>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</si>
  <si>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</si>
  <si>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</si>
  <si>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</si>
  <si>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</si>
  <si>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</si>
  <si>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</si>
  <si>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</si>
  <si>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</si>
  <si>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</si>
  <si>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</si>
  <si>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</si>
  <si>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</si>
  <si>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</si>
  <si>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</si>
  <si>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</si>
  <si>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</si>
  <si>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</si>
  <si>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</si>
  <si>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</si>
  <si>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</si>
  <si>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</si>
  <si>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</si>
  <si>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</si>
  <si>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</si>
  <si>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</si>
  <si>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</si>
  <si>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</si>
  <si>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</si>
  <si>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</si>
  <si>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</si>
  <si>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</si>
  <si>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</si>
  <si>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</si>
  <si>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</si>
  <si>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</si>
  <si>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</si>
  <si>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</si>
  <si>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</si>
  <si>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</si>
  <si>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</si>
  <si>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</si>
  <si>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</si>
  <si>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</si>
  <si>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</si>
  <si>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</si>
  <si>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</si>
  <si>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</si>
  <si>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</si>
  <si>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</si>
  <si>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</si>
  <si>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</si>
  <si>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</si>
  <si>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</si>
  <si>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</si>
  <si>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</si>
  <si>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</si>
  <si>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</si>
  <si>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</si>
  <si>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</si>
  <si>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</si>
  <si>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</si>
  <si>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</si>
  <si>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</si>
  <si>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</si>
  <si>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</si>
  <si>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</si>
  <si>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</si>
  <si>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</si>
  <si>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</si>
  <si>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</si>
  <si>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</si>
  <si>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</si>
  <si>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</si>
  <si>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</si>
  <si>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</si>
  <si>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</si>
  <si>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</si>
  <si>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</si>
  <si>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</si>
  <si>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</si>
  <si>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</si>
  <si>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</si>
  <si>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</si>
  <si>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</si>
  <si>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</si>
  <si>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</si>
  <si>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</si>
  <si>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</si>
  <si>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</si>
  <si>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</si>
  <si>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</si>
  <si>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</si>
  <si>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</si>
  <si>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</si>
  <si>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</si>
  <si>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</si>
  <si>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</si>
  <si>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</si>
  <si>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</si>
  <si>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</si>
  <si>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</si>
  <si>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</si>
  <si>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</si>
  <si>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</si>
  <si>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</si>
  <si>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</si>
  <si>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</si>
  <si>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</si>
  <si>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</si>
  <si>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</si>
  <si>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</si>
  <si>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</si>
  <si>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</si>
  <si>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</si>
  <si>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</si>
  <si>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</si>
  <si>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</si>
  <si>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</si>
  <si>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</si>
  <si>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</si>
  <si>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</si>
  <si>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</si>
  <si>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</si>
  <si>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</si>
  <si>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</si>
  <si>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</si>
  <si>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</si>
  <si>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</si>
  <si>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</si>
  <si>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</si>
  <si>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</si>
  <si>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</si>
  <si>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</si>
  <si>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</si>
  <si>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</si>
  <si>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</si>
  <si>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</si>
  <si>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</si>
  <si>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</si>
  <si>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</si>
  <si>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</si>
  <si>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</si>
  <si>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</si>
  <si>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</si>
  <si>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</si>
  <si>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</si>
  <si>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</si>
  <si>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</si>
  <si>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</si>
  <si>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</si>
  <si>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</si>
  <si>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</si>
  <si>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</si>
  <si>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</si>
  <si>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</si>
  <si>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</si>
  <si>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</si>
  <si>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</si>
  <si>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</si>
  <si>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</si>
  <si>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</si>
  <si>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</si>
  <si>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</si>
  <si>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</si>
  <si>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</si>
  <si>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</si>
  <si>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</si>
  <si>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</si>
  <si>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</si>
  <si>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</si>
  <si>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</si>
  <si>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</si>
  <si>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</si>
  <si>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</si>
  <si>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tduser</t>
  </si>
  <si>
    <t>192.168.77.133</t>
  </si>
  <si>
    <t>dbc</t>
  </si>
  <si>
    <t>employee_bkup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</si>
</sst>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lapsed="1"/>
    <col min="2" max="2" width="33.85546875" style="17" customWidth="1" collapsed="1"/>
    <col min="3" max="3" width="122.85546875" style="17" customWidth="1" collapsed="1"/>
    <col min="4" max="4" width="82.5703125" style="17" customWidth="1" collapsed="1"/>
    <col min="5" max="5" width="57.5703125" style="17" bestFit="1" customWidth="1" collapsed="1"/>
    <col min="6" max="16384" width="9.140625" style="17" collapsed="1"/>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193</v>
      </c>
      <c r="C16" s="81" t="s">
        <v>256</v>
      </c>
    </row>
    <row r="17" spans="2:3" ht="14.45" x14ac:dyDescent="0.3">
      <c r="B17" s="80" t="s">
        <v>194</v>
      </c>
      <c r="C17" s="81" t="s">
        <v>257</v>
      </c>
    </row>
    <row r="18" spans="2:3" ht="14.45" x14ac:dyDescent="0.3">
      <c r="B18" s="80" t="s">
        <v>195</v>
      </c>
      <c r="C18" s="81" t="s">
        <v>258</v>
      </c>
    </row>
    <row r="19" spans="2:3" ht="14.45" x14ac:dyDescent="0.3">
      <c r="B19" s="80" t="s">
        <v>196</v>
      </c>
      <c r="C19" s="81" t="s">
        <v>259</v>
      </c>
    </row>
    <row r="20" spans="2:3" ht="14.45" x14ac:dyDescent="0.3">
      <c r="B20" s="80" t="s">
        <v>197</v>
      </c>
      <c r="C20" s="81" t="s">
        <v>260</v>
      </c>
    </row>
    <row r="21" spans="2:3" ht="14.45" x14ac:dyDescent="0.3">
      <c r="B21" s="80" t="s">
        <v>93</v>
      </c>
      <c r="C21" s="81" t="s">
        <v>261</v>
      </c>
    </row>
    <row r="22" spans="2:3" ht="14.45"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17" zoomScaleNormal="100" workbookViewId="0">
      <selection activeCell="B40" sqref="B40"/>
    </sheetView>
  </sheetViews>
  <sheetFormatPr defaultColWidth="8.85546875" defaultRowHeight="15" x14ac:dyDescent="0.25"/>
  <cols>
    <col min="1" max="1" width="36.28515625" style="5" bestFit="1" customWidth="1" collapsed="1"/>
    <col min="2" max="2" width="21.42578125" style="68" bestFit="1" customWidth="1" collapsed="1"/>
    <col min="3" max="3" width="27.140625" style="5" bestFit="1" customWidth="1" collapsed="1"/>
    <col min="4" max="11" width="8.85546875" style="5" collapsed="1"/>
    <col min="12" max="16" width="8.85546875" style="5" customWidth="1" collapsed="1"/>
    <col min="17" max="16384" width="8.85546875" style="5" collapsed="1"/>
  </cols>
  <sheetData>
    <row r="1" spans="1:26" ht="15.6" thickTop="1" thickBot="1" x14ac:dyDescent="0.35">
      <c r="A1" s="45" t="s">
        <v>181</v>
      </c>
      <c r="B1" s="46" t="s">
        <v>182</v>
      </c>
      <c r="C1" s="47" t="s">
        <v>237</v>
      </c>
    </row>
    <row r="2" spans="1:26" ht="14.45" customHeight="1" x14ac:dyDescent="0.25">
      <c r="A2" s="48" t="s">
        <v>197</v>
      </c>
      <c r="B2" s="49" t="s">
        <v>346</v>
      </c>
      <c r="C2" s="141" t="s">
        <v>238</v>
      </c>
    </row>
    <row r="3" spans="1:26" x14ac:dyDescent="0.25">
      <c r="A3" s="50" t="s">
        <v>93</v>
      </c>
      <c r="B3" s="51" t="s">
        <v>345</v>
      </c>
      <c r="C3" s="142"/>
      <c r="D3" s="52"/>
      <c r="F3" s="5" t="s">
        <v>241</v>
      </c>
    </row>
    <row r="4" spans="1:26" x14ac:dyDescent="0.25">
      <c r="A4" s="50" t="s">
        <v>198</v>
      </c>
      <c r="B4" s="51" t="s">
        <v>347</v>
      </c>
      <c r="C4" s="142"/>
      <c r="G4" s="5" t="s">
        <v>242</v>
      </c>
    </row>
    <row r="5" spans="1:26" ht="15.75" thickBot="1" x14ac:dyDescent="0.3">
      <c r="A5" s="53" t="s">
        <v>199</v>
      </c>
      <c r="B5" s="130" t="s">
        <v>347</v>
      </c>
      <c r="C5" s="143"/>
      <c r="G5" s="5" t="s">
        <v>242</v>
      </c>
      <c r="Z5" s="54"/>
    </row>
    <row r="6" spans="1:26" thickBot="1" x14ac:dyDescent="0.35">
      <c r="A6" s="85"/>
      <c r="B6" s="86"/>
      <c r="C6" s="83"/>
      <c r="D6" s="84"/>
      <c r="G6" s="5" t="s">
        <v>242</v>
      </c>
    </row>
    <row r="7" spans="1:26" thickBot="1" x14ac:dyDescent="0.35">
      <c r="A7" s="55" t="s">
        <v>200</v>
      </c>
      <c r="B7" s="56">
        <v>6</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r="11" spans="1:26" ht="15" customHeight="1" x14ac:dyDescent="0.25">
      <c r="A11" s="62" t="s">
        <v>202</v>
      </c>
      <c r="B11" s="108"/>
      <c r="C11" s="144" t="s">
        <v>244</v>
      </c>
      <c r="D11" s="15"/>
      <c r="F11" s="15"/>
      <c r="G11" s="15"/>
      <c r="H11" s="15"/>
      <c r="I11" s="15"/>
    </row>
    <row r="12" spans="1:26" ht="15.75"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346</v>
      </c>
      <c r="C18" s="147" t="s">
        <v>251</v>
      </c>
    </row>
    <row r="19" spans="1:4" x14ac:dyDescent="0.25">
      <c r="A19" s="50" t="s">
        <v>184</v>
      </c>
      <c r="B19" s="122" t="s">
        <v>347</v>
      </c>
      <c r="C19" s="148"/>
    </row>
    <row r="20" spans="1:4" ht="15.75"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193</v>
      </c>
      <c r="B28" s="99" t="s">
        <v>207</v>
      </c>
      <c r="C28" s="144" t="s">
        <v>239</v>
      </c>
    </row>
    <row r="29" spans="1:4" ht="14.45" customHeight="1" x14ac:dyDescent="0.25">
      <c r="A29" s="78" t="s">
        <v>194</v>
      </c>
      <c r="B29" s="100" t="s">
        <v>208</v>
      </c>
      <c r="C29" s="146"/>
    </row>
    <row r="30" spans="1:4" x14ac:dyDescent="0.25">
      <c r="A30" s="78" t="s">
        <v>195</v>
      </c>
      <c r="B30" s="100" t="s">
        <v>209</v>
      </c>
      <c r="C30" s="146"/>
    </row>
    <row r="31" spans="1:4" ht="15.75" thickBot="1" x14ac:dyDescent="0.3">
      <c r="A31" s="79" t="s">
        <v>196</v>
      </c>
      <c r="B31" s="101" t="s">
        <v>210</v>
      </c>
      <c r="C31" s="145"/>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272</v>
      </c>
      <c r="B35" s="63" t="s">
        <v>212</v>
      </c>
      <c r="C35" s="126" t="s">
        <v>273</v>
      </c>
      <c r="D35" s="117"/>
    </row>
    <row r="36" spans="1:5" ht="15.75" thickBot="1" x14ac:dyDescent="0.3">
      <c r="A36" s="6"/>
      <c r="C36" s="6"/>
    </row>
    <row r="37" spans="1:5" ht="15.75" thickBot="1" x14ac:dyDescent="0.3">
      <c r="A37" s="105" t="s">
        <v>308</v>
      </c>
      <c r="B37" s="91" t="s">
        <v>190</v>
      </c>
      <c r="C37" s="118" t="s">
        <v>309</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zoomScaleNormal="100" workbookViewId="0">
      <selection activeCell="A2" sqref="A2"/>
    </sheetView>
  </sheetViews>
  <sheetFormatPr defaultRowHeight="15" x14ac:dyDescent="0.25"/>
  <cols>
    <col min="1" max="1" width="9.28515625" style="5" bestFit="1" customWidth="1" collapsed="1"/>
    <col min="2" max="2" width="13.28515625" style="5" bestFit="1" customWidth="1" collapsed="1"/>
    <col min="3" max="3" width="6.85546875" bestFit="1" customWidth="1" collapsed="1"/>
    <col min="4" max="4" width="61.7109375" style="5" bestFit="1" customWidth="1" collapsed="1"/>
    <col min="5" max="5" width="28.5703125" style="1" bestFit="1" customWidth="1" collapsed="1"/>
    <col min="6" max="6" width="14.7109375" style="10" bestFit="1" customWidth="1" collapsed="1"/>
    <col min="7" max="7" width="10.85546875" bestFit="1" customWidth="1" collapsed="1"/>
    <col min="8" max="8" width="21.85546875" style="5" bestFit="1" customWidth="1" collapsed="1"/>
    <col min="9" max="9" width="15.42578125" style="10" customWidth="1" collapsed="1"/>
    <col min="10" max="10" width="20.42578125" style="10" bestFit="1" customWidth="1" collapsed="1"/>
    <col min="11" max="11" width="10.5703125" bestFit="1" customWidth="1" collapsed="1"/>
    <col min="12" max="12" width="18.7109375" bestFit="1" customWidth="1" collapsed="1"/>
    <col min="13" max="13" width="8.28515625" bestFit="1" customWidth="1" collapsed="1"/>
    <col min="14" max="14" width="8.7109375" bestFit="1" customWidth="1" collapsed="1"/>
    <col min="15" max="15" width="10.140625" bestFit="1" customWidth="1" collapsed="1"/>
    <col min="16" max="16" width="19.140625" bestFit="1" customWidth="1" collapsed="1"/>
    <col min="19" max="19" width="11.28515625" bestFit="1" customWidth="1" collapsed="1"/>
    <col min="20" max="20" width="12.42578125" bestFit="1" customWidth="1" collapsed="1"/>
    <col min="21" max="21" width="10.85546875" bestFit="1" customWidth="1" collapsed="1"/>
    <col min="22" max="22" width="12.140625" bestFit="1" customWidth="1" collapsed="1"/>
    <col min="23" max="23" width="13.85546875" bestFit="1" customWidth="1" collapsed="1"/>
    <col min="24" max="24" width="13.5703125" bestFit="1" customWidth="1" collapsed="1"/>
    <col min="25" max="25" width="10.28515625" bestFit="1" customWidth="1" collapsed="1"/>
    <col min="26" max="26" width="19.42578125" bestFit="1" customWidth="1" collapsed="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345</v>
      </c>
      <c r="E2" s="136" t="s">
        <v>348</v>
      </c>
      <c r="F2" s="135">
        <v>1</v>
      </c>
      <c r="G2" s="134" t="s">
        <v>345</v>
      </c>
      <c r="H2" s="136" t="s">
        <v>348</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64.7109375" bestFit="1" customWidth="1" collapsed="1"/>
    <col min="5" max="5" width="15.140625" bestFit="1" customWidth="1" collapsed="1"/>
    <col min="6" max="6" width="20" bestFit="1" customWidth="1" collapsed="1"/>
    <col min="7" max="7" width="17.28515625" bestFit="1" customWidth="1" collapsed="1"/>
    <col min="8" max="8" width="19.42578125" bestFit="1" customWidth="1" collapsed="1"/>
    <col min="9" max="9" width="32.140625" bestFit="1" customWidth="1" collapsed="1"/>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lapsed="1"/>
    <col min="2" max="2" width="14.140625" bestFit="1" customWidth="1" collapsed="1"/>
    <col min="3" max="3" width="23.7109375" bestFit="1" customWidth="1" collapsed="1"/>
    <col min="4" max="4" width="10.7109375" bestFit="1" customWidth="1" collapsed="1"/>
    <col min="5" max="5" width="12.5703125" style="5" bestFit="1" customWidth="1" collapsed="1"/>
    <col min="6" max="6" width="13.42578125" customWidth="1" collapsed="1"/>
    <col min="7" max="7" width="11.5703125" bestFit="1" customWidth="1" collapsed="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lapsed="1"/>
    <col min="2" max="2" width="36.42578125" style="15" bestFit="1" customWidth="1" collapsed="1"/>
    <col min="3" max="3" width="6.85546875" style="15" bestFit="1" customWidth="1" collapsed="1"/>
    <col min="4" max="4" width="11.7109375" style="15" bestFit="1" customWidth="1" collapsed="1"/>
    <col min="5" max="5" width="21.42578125" style="15" customWidth="1" collapsed="1"/>
    <col min="6" max="6" width="37" style="15" customWidth="1" collapsed="1"/>
    <col min="7" max="7" width="10.85546875" bestFit="1" customWidth="1" collapsed="1"/>
    <col min="8" max="8" width="12.5703125" bestFit="1" customWidth="1" collapsed="1"/>
    <col min="9" max="9" width="14.28515625" bestFit="1" customWidth="1" collapsed="1"/>
    <col min="10" max="10" width="20.42578125" bestFit="1" customWidth="1" collapsed="1"/>
  </cols>
  <sheetData>
    <row r="1" spans="1:6" ht="205.9" customHeight="1" thickBot="1" x14ac:dyDescent="0.35">
      <c r="A1" s="40" t="s">
        <v>215</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lapsed="1"/>
    <col min="2" max="2" width="13.28515625" style="10" bestFit="1" customWidth="1" collapsed="1"/>
    <col min="3" max="3" width="6.42578125" bestFit="1" customWidth="1" collapsed="1"/>
    <col min="4" max="4" width="9.7109375" bestFit="1" customWidth="1" collapsed="1"/>
    <col min="5" max="5" width="11.28515625" bestFit="1" customWidth="1" collapsed="1"/>
    <col min="6" max="6" width="16.28515625" bestFit="1" customWidth="1" collapsed="1"/>
    <col min="7" max="7" width="13.7109375" style="67" bestFit="1" customWidth="1" collapsed="1"/>
    <col min="8" max="8" width="6.7109375" style="67" customWidth="1" collapsed="1"/>
    <col min="10" max="10" width="11.28515625" bestFit="1" customWidth="1" collapsed="1"/>
    <col min="12" max="12" width="17.7109375" bestFit="1" customWidth="1" collapsed="1"/>
    <col min="13" max="13" width="22.28515625" bestFit="1" customWidth="1" collapsed="1"/>
  </cols>
  <sheetData>
    <row r="1" spans="1:13" ht="14.45" x14ac:dyDescent="0.3">
      <c r="A1" s="36" t="s">
        <v>72</v>
      </c>
      <c r="B1" s="36" t="s">
        <v>75</v>
      </c>
      <c r="C1" s="37" t="s">
        <v>52</v>
      </c>
      <c r="D1" s="37" t="s">
        <v>49</v>
      </c>
      <c r="E1" s="37" t="s">
        <v>43</v>
      </c>
      <c r="F1" s="37" t="s">
        <v>234</v>
      </c>
      <c r="I1" s="75" t="s">
        <v>49</v>
      </c>
      <c r="J1" s="75" t="s">
        <v>43</v>
      </c>
      <c r="K1" s="75" t="s">
        <v>172</v>
      </c>
      <c r="L1" s="75" t="s">
        <v>297</v>
      </c>
      <c r="M1" s="75" t="s">
        <v>296</v>
      </c>
    </row>
    <row r="2" spans="1:13" ht="14.45" x14ac:dyDescent="0.3">
      <c r="A2" s="38">
        <v>1</v>
      </c>
      <c r="B2" s="38">
        <v>1</v>
      </c>
      <c r="C2" s="19" t="s">
        <v>36</v>
      </c>
      <c r="D2" s="6" t="s">
        <v>191</v>
      </c>
      <c r="E2" s="6" t="s">
        <v>192</v>
      </c>
      <c r="F2" s="6" t="s">
        <v>235</v>
      </c>
      <c r="G2" s="67" t="str">
        <f>D2&amp;"|"&amp;E2</f>
        <v>tafd_db|try_tbl</v>
      </c>
      <c r="H2" s="67" t="str">
        <f t="array" ref="H2">IFERROR(INDEX($G$2:$G$2000,MATCH(0,COUNTIF($H$1:H1,$G$2:$G$2000),0)),"")</f>
        <v>tafd_db|try_tbl</v>
      </c>
      <c r="I2" s="6" t="str">
        <f>IFERROR(LEFT(H2,FIND("|",H2)-1),"")</f>
        <v>tafd_db</v>
      </c>
      <c r="J2" s="6" t="str">
        <f>IFERROR(MID(H2,LEN(I2)+2,255),"")</f>
        <v>try_tbl</v>
      </c>
      <c r="K2" s="6" t="s">
        <v>315</v>
      </c>
      <c r="L2" s="6" t="s">
        <v>0</v>
      </c>
      <c r="M2" s="6" t="s">
        <v>271</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lapsed="1"/>
    <col min="2" max="2" width="15.28515625" style="10" customWidth="1" collapsed="1"/>
    <col min="3" max="3" width="6.85546875" bestFit="1" customWidth="1" collapsed="1"/>
    <col min="4" max="4" width="17.28515625" bestFit="1" customWidth="1" collapsed="1"/>
    <col min="5" max="5" width="19.42578125" style="5" customWidth="1" collapsed="1"/>
    <col min="6" max="6" width="21.42578125" style="5" bestFit="1" customWidth="1" collapsed="1"/>
    <col min="7" max="7" width="15.85546875" style="5" bestFit="1" customWidth="1" collapsed="1"/>
    <col min="8" max="8" width="18.42578125" style="5" bestFit="1" customWidth="1" collapsed="1"/>
    <col min="9" max="9" width="27.28515625" bestFit="1" customWidth="1" collapsed="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lapsed="1"/>
    <col min="2" max="2" width="13.28515625" style="10" bestFit="1" customWidth="1" collapsed="1"/>
    <col min="3" max="3" width="6.85546875" bestFit="1" customWidth="1" collapsed="1"/>
    <col min="4" max="4" width="9.7109375" bestFit="1" customWidth="1" collapsed="1"/>
    <col min="5" max="5" width="14.5703125" bestFit="1" customWidth="1" collapsed="1"/>
    <col min="6" max="6" width="27.85546875" bestFit="1" customWidth="1" collapsed="1"/>
    <col min="7" max="7" width="10.28515625" bestFit="1" customWidth="1" collapsed="1"/>
    <col min="8" max="8" width="15.140625" style="5" bestFit="1" customWidth="1" collapsed="1"/>
    <col min="9" max="9" width="14.28515625" style="5" bestFit="1" customWidth="1" collapsed="1"/>
    <col min="11" max="11" width="10.7109375" style="67" customWidth="1" collapsed="1"/>
    <col min="12" max="12" width="9.7109375" bestFit="1" customWidth="1" collapsed="1"/>
    <col min="13" max="13" width="14.5703125" bestFit="1" customWidth="1" collapsed="1"/>
    <col min="14" max="14" width="7.42578125" bestFit="1" customWidth="1" collapsed="1"/>
    <col min="15" max="15" width="7.28515625" bestFit="1" customWidth="1" collapsed="1"/>
    <col min="16" max="16" width="4.28515625" bestFit="1" customWidth="1" collapsed="1"/>
    <col min="17" max="17" width="16.42578125" bestFit="1" customWidth="1" collapsed="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r="2" spans="1:17" ht="14.45" x14ac:dyDescent="0.3">
      <c r="A2" s="9">
        <v>1</v>
      </c>
      <c r="B2" s="9">
        <v>1</v>
      </c>
      <c r="C2" s="6" t="s">
        <v>31</v>
      </c>
      <c r="D2" s="6" t="s">
        <v>326</v>
      </c>
      <c r="E2" s="6" t="s">
        <v>332</v>
      </c>
      <c r="F2" s="6" t="s">
        <v>331</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295</v>
      </c>
    </row>
    <row r="3" spans="1:17" ht="14.45" x14ac:dyDescent="0.3">
      <c r="A3" s="9">
        <v>1</v>
      </c>
      <c r="B3" s="9">
        <v>1</v>
      </c>
      <c r="C3" s="6" t="s">
        <v>31</v>
      </c>
      <c r="D3" s="6" t="s">
        <v>326</v>
      </c>
      <c r="E3" s="6" t="s">
        <v>332</v>
      </c>
      <c r="F3" s="6" t="s">
        <v>333</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295</v>
      </c>
    </row>
    <row r="4" spans="1:17" ht="14.45" x14ac:dyDescent="0.3">
      <c r="A4" s="9">
        <v>1</v>
      </c>
      <c r="B4" s="9">
        <v>1</v>
      </c>
      <c r="C4" s="6" t="s">
        <v>31</v>
      </c>
      <c r="D4" s="6" t="s">
        <v>326</v>
      </c>
      <c r="E4" s="6" t="s">
        <v>332</v>
      </c>
      <c r="F4" s="6" t="s">
        <v>334</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240</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240</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240</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2.140625" bestFit="1" customWidth="1" collapsed="1"/>
    <col min="5" max="5" width="13.5703125" bestFit="1" customWidth="1" collapsed="1"/>
    <col min="6" max="6" width="11.28515625" bestFit="1" customWidth="1" collapsed="1"/>
    <col min="7" max="7" width="13.5703125" bestFit="1" customWidth="1" collapsed="1"/>
    <col min="8" max="9" width="3.85546875" bestFit="1" customWidth="1" collapsed="1"/>
    <col min="10" max="10" width="24.28515625" bestFit="1" customWidth="1" collapsed="1"/>
    <col min="11" max="11" width="19.7109375" bestFit="1" customWidth="1" collapsed="1"/>
    <col min="14" max="14" width="11.28515625" bestFit="1" customWidth="1" collapsed="1"/>
    <col min="15" max="15" width="13.5703125" bestFit="1" customWidth="1" collapsed="1"/>
    <col min="16" max="16" width="11.28515625" bestFit="1" customWidth="1" collapsed="1"/>
    <col min="17" max="17" width="13.5703125" bestFit="1" customWidth="1" collapsed="1"/>
    <col min="18" max="19" width="15.28515625" bestFit="1" customWidth="1" collapsed="1"/>
    <col min="20" max="20" width="10.28515625" bestFit="1" customWidth="1" collapsed="1"/>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5.7109375" bestFit="1" customWidth="1" collapsed="1"/>
    <col min="5" max="5" width="18.140625" bestFit="1" customWidth="1" collapsed="1"/>
    <col min="6" max="6" width="22.28515625" bestFit="1" customWidth="1" collapsed="1"/>
    <col min="7" max="7" width="24.42578125" bestFit="1" customWidth="1" collapsed="1"/>
    <col min="8" max="8" width="15.7109375" bestFit="1" customWidth="1" collapsed="1"/>
    <col min="9" max="9" width="16.5703125" bestFit="1" customWidth="1" collapsed="1"/>
    <col min="10" max="10" width="18.5703125" bestFit="1" customWidth="1" collapsed="1"/>
    <col min="11" max="11" width="57.7109375" bestFit="1" customWidth="1" collapsed="1"/>
  </cols>
  <sheetData>
    <row r="1" spans="1:11" ht="14.45"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lapsed="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lapsed="1"/>
    <col min="2" max="2" width="19.28515625" style="5" customWidth="1" collapsed="1"/>
    <col min="3" max="3" width="23.42578125" style="5" customWidth="1" collapsed="1"/>
    <col min="4" max="4" width="3.28515625" style="5" customWidth="1" collapsed="1"/>
    <col min="5" max="5" width="15.28515625" style="5" bestFit="1" customWidth="1" collapsed="1"/>
    <col min="6" max="6" width="19.85546875" style="5" customWidth="1" collapsed="1"/>
    <col min="7" max="7" width="27.42578125" style="5" customWidth="1" collapsed="1"/>
    <col min="8" max="8" width="3" style="5" customWidth="1" collapsed="1"/>
    <col min="9" max="9" width="17.42578125" style="5" customWidth="1" collapsed="1"/>
    <col min="10" max="10" width="31.7109375" style="5" customWidth="1" collapsed="1"/>
    <col min="11" max="11" width="50" style="5" bestFit="1" customWidth="1" collapsed="1"/>
    <col min="12" max="12" width="4.140625" style="5" customWidth="1" collapsed="1"/>
    <col min="13" max="13" width="22.7109375" style="5" customWidth="1" collapsed="1"/>
    <col min="14" max="14" width="13.85546875" style="5" bestFit="1" customWidth="1" collapsed="1"/>
    <col min="15" max="15" width="25.28515625" style="5" bestFit="1" customWidth="1" collapsed="1"/>
    <col min="16" max="16" width="4" style="5" customWidth="1" collapsed="1"/>
    <col min="17" max="17" width="10" style="5" bestFit="1" customWidth="1" collapsed="1"/>
    <col min="18" max="18" width="13.85546875" style="5" bestFit="1" customWidth="1" collapsed="1"/>
    <col min="19" max="19" width="31.140625" style="5" bestFit="1" customWidth="1" collapsed="1"/>
    <col min="20" max="20" width="4" style="5" customWidth="1" collapsed="1"/>
    <col min="21" max="21" width="14.42578125" style="5" bestFit="1" customWidth="1" collapsed="1"/>
    <col min="22" max="22" width="22.42578125" style="5" bestFit="1" customWidth="1" collapsed="1"/>
    <col min="23" max="23" width="33.85546875" style="5" bestFit="1" customWidth="1" collapsed="1"/>
    <col min="24" max="24" width="8.85546875" style="5" collapsed="1"/>
    <col min="25" max="25" width="11.85546875" style="5" bestFit="1" customWidth="1" collapsed="1"/>
    <col min="26" max="26" width="47.28515625" style="5" customWidth="1" collapsed="1"/>
    <col min="27" max="16384" width="8.85546875" style="5" collapsed="1"/>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2017-10-25T17:52:14Z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